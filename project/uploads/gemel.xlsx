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ור" sheetId="1" r:id="rId5"/>
    <sheet state="visible" name="ילין" sheetId="2" r:id="rId6"/>
    <sheet state="visible" name="אנליסט" sheetId="3" r:id="rId7"/>
  </sheets>
  <definedNames/>
  <calcPr/>
</workbook>
</file>

<file path=xl/sharedStrings.xml><?xml version="1.0" encoding="utf-8"?>
<sst xmlns="http://schemas.openxmlformats.org/spreadsheetml/2006/main" count="20" uniqueCount="16">
  <si>
    <t>Month</t>
  </si>
  <si>
    <t>Mor Price</t>
  </si>
  <si>
    <t>Mor Profit</t>
  </si>
  <si>
    <t>Mor %</t>
  </si>
  <si>
    <t>NOTES</t>
  </si>
  <si>
    <t>start 81,000</t>
  </si>
  <si>
    <t>SUM %</t>
  </si>
  <si>
    <t> cal</t>
  </si>
  <si>
    <t>Yelin Price</t>
  </si>
  <si>
    <t>Yelin Profit</t>
  </si>
  <si>
    <t>Yelin %</t>
  </si>
  <si>
    <t>start 79,000</t>
  </si>
  <si>
    <t>add 67,300</t>
  </si>
  <si>
    <t>Analyst Price</t>
  </si>
  <si>
    <t>Analyst Profit</t>
  </si>
  <si>
    <t>Analyst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</si>
</sst>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₪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1" fillId="0" fontId="2" numFmtId="164" xfId="0" applyAlignment="1" applyBorder="1" applyFont="1" applyNumberFormat="1">
      <alignment readingOrder="0" shrinkToFit="0" vertical="center" wrapText="0"/>
    </xf>
    <xf borderId="2" fillId="0" fontId="2" numFmtId="165" xfId="0" applyAlignment="1" applyBorder="1" applyFont="1" applyNumberForma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4" fillId="0" fontId="2" numFmtId="164" xfId="0" applyAlignment="1" applyBorder="1" applyFont="1" applyNumberFormat="1">
      <alignment readingOrder="0" shrinkToFit="0" vertical="center" wrapText="0"/>
    </xf>
    <xf borderId="5" fillId="0" fontId="2" numFmtId="165" xfId="0" applyAlignment="1" applyBorder="1" applyFont="1" applyNumberFormat="1">
      <alignment readingOrder="0"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6" fillId="0" fontId="2" numFmtId="10" xfId="0" applyAlignment="1" applyBorder="1" applyFont="1" applyNumberFormat="1">
      <alignment shrinkToFit="0" vertical="center" wrapText="0"/>
    </xf>
    <xf borderId="0" fillId="2" fontId="3" numFmtId="0" xfId="0" applyAlignment="1" applyFill="1" applyFont="1">
      <alignment horizontal="center" readingOrder="0"/>
    </xf>
    <xf borderId="0" fillId="2" fontId="3" numFmtId="10" xfId="0" applyAlignment="1" applyFont="1" applyNumberFormat="1">
      <alignment horizontal="center"/>
    </xf>
    <xf borderId="5" fillId="0" fontId="2" numFmtId="165" xfId="0" applyAlignment="1" applyBorder="1" applyFont="1" applyNumberFormat="1">
      <alignment readingOrder="0"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6" fillId="0" fontId="2" numFmtId="10" xfId="0" applyAlignment="1" applyBorder="1" applyFont="1" applyNumberFormat="1">
      <alignment shrinkToFit="0" vertical="center" wrapText="0"/>
    </xf>
    <xf borderId="7" fillId="0" fontId="2" numFmtId="164" xfId="0" applyAlignment="1" applyBorder="1" applyFont="1" applyNumberFormat="1">
      <alignment readingOrder="0" shrinkToFit="0" vertical="center" wrapText="0"/>
    </xf>
    <xf borderId="0" fillId="3" fontId="2" numFmtId="0" xfId="0" applyAlignment="1" applyFill="1" applyFont="1">
      <alignment readingOrder="0"/>
    </xf>
    <xf borderId="2" fillId="0" fontId="2" numFmtId="165" xfId="0" applyAlignment="1" applyBorder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/>
    </xf>
    <xf borderId="5" fillId="0" fontId="2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10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מו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ילין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אנליסט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3" displayName="מור" name="מור" id="1">
  <tableColumns count="4">
    <tableColumn name="Month" id="1"/>
    <tableColumn name="Mor Price" id="2"/>
    <tableColumn name="Mor Profit" id="3"/>
    <tableColumn name="Mor %" id="4"/>
  </tableColumns>
  <tableStyleInfo name="מור-style" showColumnStripes="0" showFirstColumn="1" showLastColumn="1" showRowStripes="1"/>
</table>
</file>

<file path=xl/tables/table2.xml><?xml version="1.0" encoding="utf-8"?>
<table xmlns="http://schemas.openxmlformats.org/spreadsheetml/2006/main" ref="A1:D24" displayName="ילין" name="ילין" id="2">
  <tableColumns count="4">
    <tableColumn name=" cal" id="1"/>
    <tableColumn name="Yelin Price" id="2"/>
    <tableColumn name="Yelin Profit" id="3"/>
    <tableColumn name="Yelin %" id="4"/>
  </tableColumns>
  <tableStyleInfo name="ילין-style" showColumnStripes="0" showFirstColumn="1" showLastColumn="1" showRowStripes="1"/>
</table>
</file>

<file path=xl/tables/table3.xml><?xml version="1.0" encoding="utf-8"?>
<table xmlns="http://schemas.openxmlformats.org/spreadsheetml/2006/main" ref="A1:D23" displayName="אנליסט" name="אנליסט" id="3">
  <tableColumns count="4">
    <tableColumn name="Month" id="1"/>
    <tableColumn name="Analyst Price" id="2"/>
    <tableColumn name="Analyst Profit" id="3"/>
    <tableColumn name="Analyst %" id="4"/>
  </tableColumns>
  <tableStyleInfo name="אנליס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6.13"/>
    <col customWidth="1" min="3" max="3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ht="22.5" customHeight="1">
      <c r="A2" s="3">
        <v>45627.0</v>
      </c>
      <c r="B2" s="4"/>
      <c r="C2" s="4"/>
      <c r="D2" s="5"/>
    </row>
    <row r="3" ht="22.5" customHeight="1">
      <c r="A3" s="6">
        <v>45658.0</v>
      </c>
      <c r="B3" s="7">
        <v>81000.0</v>
      </c>
      <c r="C3" s="8">
        <f t="shared" ref="C3:C23" si="1">B3-B2</f>
        <v>81000</v>
      </c>
      <c r="D3" s="9" t="str">
        <f t="shared" ref="D3:D23" si="2">IF(B2=0, "", (B3-B2)/B2)</f>
        <v/>
      </c>
      <c r="F3" s="2" t="s">
        <v>5</v>
      </c>
      <c r="G3" s="10" t="s">
        <v>6</v>
      </c>
    </row>
    <row r="4" ht="22.5" customHeight="1">
      <c r="A4" s="6">
        <v>45689.0</v>
      </c>
      <c r="B4" s="7">
        <v>82834.0</v>
      </c>
      <c r="C4" s="8">
        <f t="shared" si="1"/>
        <v>1834</v>
      </c>
      <c r="D4" s="9">
        <f t="shared" si="2"/>
        <v>0.02264197531</v>
      </c>
      <c r="G4" s="11">
        <f>Sum(D3:D13)</f>
        <v>0.2100858886</v>
      </c>
    </row>
    <row r="5" ht="22.5" customHeight="1">
      <c r="A5" s="6">
        <v>45717.0</v>
      </c>
      <c r="B5" s="7">
        <v>81618.0</v>
      </c>
      <c r="C5" s="8">
        <f t="shared" si="1"/>
        <v>-1216</v>
      </c>
      <c r="D5" s="9">
        <f t="shared" si="2"/>
        <v>-0.01467996233</v>
      </c>
    </row>
    <row r="6" ht="22.5" customHeight="1">
      <c r="A6" s="6">
        <v>45748.0</v>
      </c>
      <c r="B6" s="7">
        <v>82159.0</v>
      </c>
      <c r="C6" s="8">
        <f t="shared" si="1"/>
        <v>541</v>
      </c>
      <c r="D6" s="9">
        <f t="shared" si="2"/>
        <v>0.006628439805</v>
      </c>
    </row>
    <row r="7" ht="22.5" customHeight="1">
      <c r="A7" s="6">
        <v>45778.0</v>
      </c>
      <c r="B7" s="7">
        <v>86667.0</v>
      </c>
      <c r="C7" s="8">
        <f t="shared" si="1"/>
        <v>4508</v>
      </c>
      <c r="D7" s="9">
        <f t="shared" si="2"/>
        <v>0.05486921701</v>
      </c>
    </row>
    <row r="8" ht="22.5" customHeight="1">
      <c r="A8" s="6">
        <v>45809.0</v>
      </c>
      <c r="B8" s="7">
        <v>90580.0</v>
      </c>
      <c r="C8" s="8">
        <f t="shared" si="1"/>
        <v>3913</v>
      </c>
      <c r="D8" s="9">
        <f t="shared" si="2"/>
        <v>0.04514982635</v>
      </c>
    </row>
    <row r="9" ht="22.5" customHeight="1">
      <c r="A9" s="6">
        <v>45839.0</v>
      </c>
      <c r="B9" s="7">
        <v>92329.0</v>
      </c>
      <c r="C9" s="8">
        <f t="shared" si="1"/>
        <v>1749</v>
      </c>
      <c r="D9" s="9">
        <f t="shared" si="2"/>
        <v>0.01930889821</v>
      </c>
    </row>
    <row r="10" ht="22.5" customHeight="1">
      <c r="A10" s="6">
        <v>45870.0</v>
      </c>
      <c r="B10" s="7">
        <v>92962.0</v>
      </c>
      <c r="C10" s="8">
        <f t="shared" si="1"/>
        <v>633</v>
      </c>
      <c r="D10" s="9">
        <f t="shared" si="2"/>
        <v>0.006855917426</v>
      </c>
    </row>
    <row r="11" ht="22.5" customHeight="1">
      <c r="A11" s="6">
        <v>45901.0</v>
      </c>
      <c r="B11" s="7">
        <v>96151.0</v>
      </c>
      <c r="C11" s="8">
        <f t="shared" si="1"/>
        <v>3189</v>
      </c>
      <c r="D11" s="9">
        <f t="shared" si="2"/>
        <v>0.03430433941</v>
      </c>
    </row>
    <row r="12" ht="22.5" customHeight="1">
      <c r="A12" s="6">
        <v>45931.0</v>
      </c>
      <c r="B12" s="7">
        <v>98206.0</v>
      </c>
      <c r="C12" s="8">
        <f t="shared" si="1"/>
        <v>2055</v>
      </c>
      <c r="D12" s="9">
        <f t="shared" si="2"/>
        <v>0.02137263263</v>
      </c>
    </row>
    <row r="13" ht="22.5" customHeight="1">
      <c r="A13" s="6">
        <v>45962.0</v>
      </c>
      <c r="B13" s="7">
        <v>99545.0</v>
      </c>
      <c r="C13" s="8">
        <f t="shared" si="1"/>
        <v>1339</v>
      </c>
      <c r="D13" s="9">
        <f t="shared" si="2"/>
        <v>0.01363460481</v>
      </c>
    </row>
    <row r="14" ht="22.5" customHeight="1">
      <c r="A14" s="6">
        <v>45992.0</v>
      </c>
      <c r="B14" s="12">
        <v>100818.0</v>
      </c>
      <c r="C14" s="13">
        <f t="shared" si="1"/>
        <v>1273</v>
      </c>
      <c r="D14" s="14">
        <f t="shared" si="2"/>
        <v>0.01278818625</v>
      </c>
    </row>
    <row r="15" ht="22.5" customHeight="1">
      <c r="A15" s="6">
        <v>46023.0</v>
      </c>
      <c r="B15" s="12">
        <v>105398.0</v>
      </c>
      <c r="C15" s="13">
        <f t="shared" si="1"/>
        <v>4580</v>
      </c>
      <c r="D15" s="14">
        <f t="shared" si="2"/>
        <v>0.04542839572</v>
      </c>
    </row>
    <row r="16" ht="22.5" customHeight="1">
      <c r="A16" s="6">
        <v>46054.0</v>
      </c>
      <c r="B16" s="12">
        <v>106665.0</v>
      </c>
      <c r="C16" s="13">
        <f t="shared" si="1"/>
        <v>1267</v>
      </c>
      <c r="D16" s="14">
        <f t="shared" si="2"/>
        <v>0.01202110097</v>
      </c>
    </row>
    <row r="17" ht="22.5" customHeight="1">
      <c r="A17" s="6">
        <v>46082.0</v>
      </c>
      <c r="B17" s="12">
        <v>106665.0</v>
      </c>
      <c r="C17" s="13">
        <f t="shared" si="1"/>
        <v>0</v>
      </c>
      <c r="D17" s="14">
        <f t="shared" si="2"/>
        <v>0</v>
      </c>
    </row>
    <row r="18" ht="22.5" customHeight="1">
      <c r="A18" s="15">
        <v>46113.0</v>
      </c>
      <c r="B18" s="12">
        <v>110063.0</v>
      </c>
      <c r="C18" s="13">
        <f t="shared" si="1"/>
        <v>3398</v>
      </c>
      <c r="D18" s="14">
        <f t="shared" si="2"/>
        <v>0.03185674776</v>
      </c>
    </row>
    <row r="19" ht="22.5" customHeight="1">
      <c r="A19" s="6">
        <v>46143.0</v>
      </c>
      <c r="B19" s="12"/>
      <c r="C19" s="13">
        <f t="shared" si="1"/>
        <v>-110063</v>
      </c>
      <c r="D19" s="14">
        <f t="shared" si="2"/>
        <v>-1</v>
      </c>
    </row>
    <row r="20" ht="22.5" customHeight="1">
      <c r="A20" s="6">
        <v>46174.0</v>
      </c>
      <c r="B20" s="12"/>
      <c r="C20" s="13">
        <f t="shared" si="1"/>
        <v>0</v>
      </c>
      <c r="D20" s="14" t="str">
        <f t="shared" si="2"/>
        <v/>
      </c>
    </row>
    <row r="21" ht="22.5" customHeight="1">
      <c r="A21" s="15">
        <v>46204.0</v>
      </c>
      <c r="B21" s="12"/>
      <c r="C21" s="13">
        <f t="shared" si="1"/>
        <v>0</v>
      </c>
      <c r="D21" s="14" t="str">
        <f t="shared" si="2"/>
        <v/>
      </c>
    </row>
    <row r="22" ht="22.5" customHeight="1">
      <c r="A22" s="6">
        <v>46235.0</v>
      </c>
      <c r="B22" s="12"/>
      <c r="C22" s="13">
        <f t="shared" si="1"/>
        <v>0</v>
      </c>
      <c r="D22" s="14" t="str">
        <f t="shared" si="2"/>
        <v/>
      </c>
    </row>
    <row r="23" ht="22.5" customHeight="1">
      <c r="A23" s="6">
        <v>46266.0</v>
      </c>
      <c r="B23" s="12"/>
      <c r="C23" s="13">
        <f t="shared" si="1"/>
        <v>0</v>
      </c>
      <c r="D23" s="14" t="str">
        <f t="shared" si="2"/>
        <v/>
      </c>
    </row>
  </sheetData>
  <dataValidations>
    <dataValidation type="custom" allowBlank="1" showDropDown="1" sqref="A2:A23">
      <formula1>OR(NOT(ISERROR(DATEVALUE(A2))), AND(ISNUMBER(A2), LEFT(CELL("format", A2))="D"))</formula1>
    </dataValidation>
    <dataValidation type="custom" allowBlank="1" showDropDown="1" sqref="B2:C2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6.75"/>
    <col customWidth="1" min="3" max="3" width="17.0"/>
  </cols>
  <sheetData>
    <row r="1" ht="22.5" customHeight="1">
      <c r="A1" s="1" t="s">
        <v>7</v>
      </c>
      <c r="B1" s="1" t="s">
        <v>8</v>
      </c>
      <c r="C1" s="1" t="s">
        <v>9</v>
      </c>
      <c r="D1" s="1" t="s">
        <v>10</v>
      </c>
      <c r="F1" s="16" t="s">
        <v>4</v>
      </c>
    </row>
    <row r="2" ht="22.5" customHeight="1">
      <c r="A2" s="3">
        <v>45627.0</v>
      </c>
      <c r="B2" s="17">
        <v>79875.0</v>
      </c>
      <c r="C2" s="4"/>
      <c r="D2" s="5"/>
      <c r="F2" s="2" t="s">
        <v>11</v>
      </c>
    </row>
    <row r="3" ht="22.5" customHeight="1">
      <c r="A3" s="6">
        <v>45658.0</v>
      </c>
      <c r="B3" s="7">
        <v>80055.0</v>
      </c>
      <c r="C3" s="8">
        <f t="shared" ref="C3:C24" si="1">B3-B2</f>
        <v>180</v>
      </c>
      <c r="D3" s="9">
        <f t="shared" ref="D3:D24" si="2">IF(B2=0, "", (B3-B2)/B2)</f>
        <v>0.002253521127</v>
      </c>
      <c r="G3" s="10" t="s">
        <v>6</v>
      </c>
    </row>
    <row r="4" ht="22.5" customHeight="1">
      <c r="A4" s="6">
        <v>45689.0</v>
      </c>
      <c r="B4" s="7">
        <v>81939.0</v>
      </c>
      <c r="C4" s="8">
        <f t="shared" si="1"/>
        <v>1884</v>
      </c>
      <c r="D4" s="9">
        <f t="shared" si="2"/>
        <v>0.0235338205</v>
      </c>
      <c r="G4" s="11">
        <f>Sum(D3:D14)</f>
        <v>0.9421679563</v>
      </c>
    </row>
    <row r="5" ht="22.5" customHeight="1">
      <c r="A5" s="6">
        <v>45717.0</v>
      </c>
      <c r="B5" s="7">
        <v>80875.0</v>
      </c>
      <c r="C5" s="8">
        <f t="shared" si="1"/>
        <v>-1064</v>
      </c>
      <c r="D5" s="9">
        <f t="shared" si="2"/>
        <v>-0.01298526953</v>
      </c>
    </row>
    <row r="6" ht="22.5" customHeight="1">
      <c r="A6" s="6">
        <v>45748.0</v>
      </c>
      <c r="B6" s="7">
        <v>78423.0</v>
      </c>
      <c r="C6" s="8">
        <f t="shared" si="1"/>
        <v>-2452</v>
      </c>
      <c r="D6" s="9">
        <f t="shared" si="2"/>
        <v>-0.03031839258</v>
      </c>
    </row>
    <row r="7" ht="22.5" customHeight="1">
      <c r="A7" s="6">
        <v>45778.0</v>
      </c>
      <c r="B7" s="7">
        <v>78932.0</v>
      </c>
      <c r="C7" s="8">
        <f t="shared" si="1"/>
        <v>509</v>
      </c>
      <c r="D7" s="9">
        <f t="shared" si="2"/>
        <v>0.006490442855</v>
      </c>
    </row>
    <row r="8" ht="22.5" customHeight="1">
      <c r="A8" s="6">
        <v>45809.0</v>
      </c>
      <c r="B8" s="7">
        <v>83043.0</v>
      </c>
      <c r="C8" s="8">
        <f t="shared" si="1"/>
        <v>4111</v>
      </c>
      <c r="D8" s="9">
        <f t="shared" si="2"/>
        <v>0.05208280545</v>
      </c>
    </row>
    <row r="9" ht="22.5" customHeight="1">
      <c r="A9" s="6">
        <v>45839.0</v>
      </c>
      <c r="B9" s="7">
        <v>86795.0</v>
      </c>
      <c r="C9" s="8">
        <f t="shared" si="1"/>
        <v>3752</v>
      </c>
      <c r="D9" s="9">
        <f t="shared" si="2"/>
        <v>0.04518141204</v>
      </c>
    </row>
    <row r="10" ht="22.5" customHeight="1">
      <c r="A10" s="6">
        <v>45870.0</v>
      </c>
      <c r="B10" s="7">
        <v>88648.0</v>
      </c>
      <c r="C10" s="8">
        <f t="shared" si="1"/>
        <v>1853</v>
      </c>
      <c r="D10" s="9">
        <f t="shared" si="2"/>
        <v>0.02134915606</v>
      </c>
    </row>
    <row r="11" ht="22.5" customHeight="1">
      <c r="A11" s="6">
        <v>45901.0</v>
      </c>
      <c r="B11" s="7">
        <v>156860.0</v>
      </c>
      <c r="C11" s="8">
        <f t="shared" si="1"/>
        <v>68212</v>
      </c>
      <c r="D11" s="9">
        <f t="shared" si="2"/>
        <v>0.7694702644</v>
      </c>
      <c r="F11" s="18" t="s">
        <v>12</v>
      </c>
    </row>
    <row r="12" ht="22.5" customHeight="1">
      <c r="A12" s="6">
        <v>45931.0</v>
      </c>
      <c r="B12" s="7">
        <v>161420.0</v>
      </c>
      <c r="C12" s="8">
        <f t="shared" si="1"/>
        <v>4560</v>
      </c>
      <c r="D12" s="9">
        <f t="shared" si="2"/>
        <v>0.02907050873</v>
      </c>
    </row>
    <row r="13" ht="22.5" customHeight="1">
      <c r="A13" s="6">
        <v>45962.0</v>
      </c>
      <c r="B13" s="7">
        <v>165461.0</v>
      </c>
      <c r="C13" s="8">
        <f t="shared" si="1"/>
        <v>4041</v>
      </c>
      <c r="D13" s="9">
        <f t="shared" si="2"/>
        <v>0.02503407261</v>
      </c>
    </row>
    <row r="14" ht="22.5" customHeight="1">
      <c r="A14" s="6">
        <v>45992.0</v>
      </c>
      <c r="B14" s="12">
        <v>167282.0</v>
      </c>
      <c r="C14" s="13">
        <f t="shared" si="1"/>
        <v>1821</v>
      </c>
      <c r="D14" s="14">
        <f t="shared" si="2"/>
        <v>0.01100561462</v>
      </c>
    </row>
    <row r="15" ht="22.5" customHeight="1">
      <c r="A15" s="6">
        <v>46023.0</v>
      </c>
      <c r="B15" s="12">
        <v>169528.0</v>
      </c>
      <c r="C15" s="13">
        <f t="shared" si="1"/>
        <v>2246</v>
      </c>
      <c r="D15" s="14">
        <f t="shared" si="2"/>
        <v>0.01342642962</v>
      </c>
    </row>
    <row r="16" ht="22.5" customHeight="1">
      <c r="A16" s="6">
        <v>46054.0</v>
      </c>
      <c r="B16" s="12">
        <v>174162.0</v>
      </c>
      <c r="C16" s="13">
        <f t="shared" si="1"/>
        <v>4634</v>
      </c>
      <c r="D16" s="14">
        <f t="shared" si="2"/>
        <v>0.02733471757</v>
      </c>
    </row>
    <row r="17" ht="22.5" customHeight="1">
      <c r="A17" s="6">
        <v>46082.0</v>
      </c>
      <c r="B17" s="12">
        <v>175299.0</v>
      </c>
      <c r="C17" s="13">
        <f t="shared" si="1"/>
        <v>1137</v>
      </c>
      <c r="D17" s="14">
        <f t="shared" si="2"/>
        <v>0.006528404589</v>
      </c>
    </row>
    <row r="18" ht="22.5" customHeight="1">
      <c r="A18" s="6">
        <v>46113.0</v>
      </c>
      <c r="B18" s="12">
        <v>167191.0</v>
      </c>
      <c r="C18" s="13">
        <f t="shared" si="1"/>
        <v>-8108</v>
      </c>
      <c r="D18" s="14">
        <f t="shared" si="2"/>
        <v>-0.04625240304</v>
      </c>
    </row>
    <row r="19" ht="22.5" customHeight="1">
      <c r="A19" s="6">
        <v>46143.0</v>
      </c>
      <c r="B19" s="12">
        <v>180702.0</v>
      </c>
      <c r="C19" s="13">
        <f t="shared" si="1"/>
        <v>13511</v>
      </c>
      <c r="D19" s="14">
        <f t="shared" si="2"/>
        <v>0.08081176618</v>
      </c>
    </row>
    <row r="20" ht="22.5" customHeight="1">
      <c r="A20" s="6">
        <v>46174.0</v>
      </c>
      <c r="B20" s="12"/>
      <c r="C20" s="13">
        <f t="shared" si="1"/>
        <v>-180702</v>
      </c>
      <c r="D20" s="14">
        <f t="shared" si="2"/>
        <v>-1</v>
      </c>
    </row>
    <row r="21" ht="22.5" customHeight="1">
      <c r="A21" s="6">
        <v>46204.0</v>
      </c>
      <c r="B21" s="12"/>
      <c r="C21" s="13">
        <f t="shared" si="1"/>
        <v>0</v>
      </c>
      <c r="D21" s="14" t="str">
        <f t="shared" si="2"/>
        <v/>
      </c>
    </row>
    <row r="22" ht="22.5" customHeight="1">
      <c r="A22" s="6">
        <v>46235.0</v>
      </c>
      <c r="B22" s="12"/>
      <c r="C22" s="13">
        <f t="shared" si="1"/>
        <v>0</v>
      </c>
      <c r="D22" s="14" t="str">
        <f t="shared" si="2"/>
        <v/>
      </c>
    </row>
    <row r="23" ht="22.5" customHeight="1">
      <c r="A23" s="6">
        <v>46266.0</v>
      </c>
      <c r="B23" s="12"/>
      <c r="C23" s="13">
        <f t="shared" si="1"/>
        <v>0</v>
      </c>
      <c r="D23" s="14" t="str">
        <f t="shared" si="2"/>
        <v/>
      </c>
    </row>
    <row r="24" ht="22.5" customHeight="1">
      <c r="A24" s="6">
        <v>46296.0</v>
      </c>
      <c r="B24" s="12"/>
      <c r="C24" s="13">
        <f t="shared" si="1"/>
        <v>0</v>
      </c>
      <c r="D24" s="14" t="str">
        <f t="shared" si="2"/>
        <v/>
      </c>
    </row>
  </sheetData>
  <dataValidations>
    <dataValidation type="custom" allowBlank="1" showDropDown="1" sqref="A2:A24">
      <formula1>OR(NOT(ISERROR(DATEVALUE(A2))), AND(ISNUMBER(A2), LEFT(CELL("format", A2))="D"))</formula1>
    </dataValidation>
    <dataValidation type="custom" allowBlank="1" showDropDown="1" sqref="B2:C24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8.63"/>
    <col customWidth="1" min="3" max="3" width="19.0"/>
    <col customWidth="1" min="4" max="4" width="12.75"/>
  </cols>
  <sheetData>
    <row r="1" ht="22.5" customHeight="1">
      <c r="A1" s="1" t="s">
        <v>0</v>
      </c>
      <c r="B1" s="1" t="s">
        <v>13</v>
      </c>
      <c r="C1" s="1" t="s">
        <v>14</v>
      </c>
      <c r="D1" s="1" t="s">
        <v>15</v>
      </c>
    </row>
    <row r="2" ht="22.5" customHeight="1">
      <c r="A2" s="19">
        <v>45627.0</v>
      </c>
      <c r="B2" s="7">
        <v>79616.0</v>
      </c>
      <c r="C2" s="8"/>
      <c r="D2" s="20"/>
    </row>
    <row r="3" ht="22.5" customHeight="1">
      <c r="A3" s="19">
        <v>45658.0</v>
      </c>
      <c r="B3" s="7">
        <v>79916.0</v>
      </c>
      <c r="C3" s="8">
        <f t="shared" ref="C3:C23" si="1">B3-B2</f>
        <v>300</v>
      </c>
      <c r="D3" s="21">
        <f t="shared" ref="D3:D23" si="2">IF(B2=0, "", (B3-B2)/B2)</f>
        <v>0.003768086817</v>
      </c>
      <c r="F3" s="10" t="s">
        <v>6</v>
      </c>
    </row>
    <row r="4" ht="22.5" customHeight="1">
      <c r="A4" s="19">
        <v>45689.0</v>
      </c>
      <c r="B4" s="7">
        <v>82345.0</v>
      </c>
      <c r="C4" s="8">
        <f t="shared" si="1"/>
        <v>2429</v>
      </c>
      <c r="D4" s="21">
        <f t="shared" si="2"/>
        <v>0.03039441413</v>
      </c>
      <c r="F4" s="11">
        <f>Sum(D3:D14)</f>
        <v>0.1795456035</v>
      </c>
    </row>
    <row r="5" ht="22.5" customHeight="1">
      <c r="A5" s="19">
        <v>45717.0</v>
      </c>
      <c r="B5" s="7">
        <v>80955.0</v>
      </c>
      <c r="C5" s="8">
        <f t="shared" si="1"/>
        <v>-1390</v>
      </c>
      <c r="D5" s="21">
        <f t="shared" si="2"/>
        <v>-0.01688019916</v>
      </c>
    </row>
    <row r="6" ht="22.5" customHeight="1">
      <c r="A6" s="19">
        <v>45748.0</v>
      </c>
      <c r="B6" s="7">
        <v>78325.0</v>
      </c>
      <c r="C6" s="8">
        <f t="shared" si="1"/>
        <v>-2630</v>
      </c>
      <c r="D6" s="21">
        <f t="shared" si="2"/>
        <v>-0.03248718424</v>
      </c>
    </row>
    <row r="7" ht="22.5" customHeight="1">
      <c r="A7" s="19">
        <v>45778.0</v>
      </c>
      <c r="B7" s="7">
        <v>78231.0</v>
      </c>
      <c r="C7" s="8">
        <f t="shared" si="1"/>
        <v>-94</v>
      </c>
      <c r="D7" s="21">
        <f t="shared" si="2"/>
        <v>-0.001200127673</v>
      </c>
    </row>
    <row r="8" ht="22.5" customHeight="1">
      <c r="A8" s="19">
        <v>45809.0</v>
      </c>
      <c r="B8" s="7">
        <v>82242.0</v>
      </c>
      <c r="C8" s="8">
        <f t="shared" si="1"/>
        <v>4011</v>
      </c>
      <c r="D8" s="21">
        <f t="shared" si="2"/>
        <v>0.05127123519</v>
      </c>
    </row>
    <row r="9" ht="22.5" customHeight="1">
      <c r="A9" s="19">
        <v>45839.0</v>
      </c>
      <c r="B9" s="7">
        <v>86613.0</v>
      </c>
      <c r="C9" s="8">
        <f t="shared" si="1"/>
        <v>4371</v>
      </c>
      <c r="D9" s="21">
        <f t="shared" si="2"/>
        <v>0.05314802656</v>
      </c>
    </row>
    <row r="10" ht="22.5" customHeight="1">
      <c r="A10" s="19">
        <v>45870.0</v>
      </c>
      <c r="B10" s="7">
        <v>88351.0</v>
      </c>
      <c r="C10" s="8">
        <f t="shared" si="1"/>
        <v>1738</v>
      </c>
      <c r="D10" s="21">
        <f t="shared" si="2"/>
        <v>0.02006627181</v>
      </c>
    </row>
    <row r="11" ht="22.5" customHeight="1">
      <c r="A11" s="19">
        <v>45901.0</v>
      </c>
      <c r="B11" s="7">
        <v>89131.0</v>
      </c>
      <c r="C11" s="8">
        <f t="shared" si="1"/>
        <v>780</v>
      </c>
      <c r="D11" s="21">
        <f t="shared" si="2"/>
        <v>0.008828422995</v>
      </c>
    </row>
    <row r="12" ht="22.5" customHeight="1">
      <c r="A12" s="19">
        <v>45931.0</v>
      </c>
      <c r="B12" s="7">
        <v>92175.0</v>
      </c>
      <c r="C12" s="8">
        <f t="shared" si="1"/>
        <v>3044</v>
      </c>
      <c r="D12" s="21">
        <f t="shared" si="2"/>
        <v>0.03415197855</v>
      </c>
    </row>
    <row r="13" ht="22.5" customHeight="1">
      <c r="A13" s="19">
        <v>45962.0</v>
      </c>
      <c r="B13" s="7">
        <v>94037.0</v>
      </c>
      <c r="C13" s="8">
        <f t="shared" si="1"/>
        <v>1862</v>
      </c>
      <c r="D13" s="21">
        <f t="shared" si="2"/>
        <v>0.02020070518</v>
      </c>
    </row>
    <row r="14" ht="22.5" customHeight="1">
      <c r="A14" s="19">
        <v>45992.0</v>
      </c>
      <c r="B14" s="12">
        <v>94816.0</v>
      </c>
      <c r="C14" s="13">
        <f t="shared" si="1"/>
        <v>779</v>
      </c>
      <c r="D14" s="21">
        <f t="shared" si="2"/>
        <v>0.00828397333</v>
      </c>
    </row>
    <row r="15" ht="22.5" customHeight="1">
      <c r="A15" s="19">
        <v>46023.0</v>
      </c>
      <c r="B15" s="12">
        <v>95689.0</v>
      </c>
      <c r="C15" s="13">
        <f t="shared" si="1"/>
        <v>873</v>
      </c>
      <c r="D15" s="21">
        <f t="shared" si="2"/>
        <v>0.009207306784</v>
      </c>
    </row>
    <row r="16" ht="22.5" customHeight="1">
      <c r="A16" s="19">
        <v>46054.0</v>
      </c>
      <c r="B16" s="12">
        <v>181854.0</v>
      </c>
      <c r="C16" s="13">
        <f t="shared" si="1"/>
        <v>86165</v>
      </c>
      <c r="D16" s="21">
        <f t="shared" si="2"/>
        <v>0.9004692284</v>
      </c>
    </row>
    <row r="17" ht="22.5" customHeight="1">
      <c r="A17" s="19">
        <v>46082.0</v>
      </c>
      <c r="B17" s="12">
        <v>182156.0</v>
      </c>
      <c r="C17" s="13">
        <f t="shared" si="1"/>
        <v>302</v>
      </c>
      <c r="D17" s="21">
        <f t="shared" si="2"/>
        <v>0.001660672847</v>
      </c>
    </row>
    <row r="18" ht="22.5" customHeight="1">
      <c r="A18" s="19">
        <v>46113.0</v>
      </c>
      <c r="B18" s="12">
        <v>174452.0</v>
      </c>
      <c r="C18" s="13">
        <f t="shared" si="1"/>
        <v>-7704</v>
      </c>
      <c r="D18" s="21">
        <f t="shared" si="2"/>
        <v>-0.04229341883</v>
      </c>
    </row>
    <row r="19" ht="22.5" customHeight="1">
      <c r="A19" s="19">
        <v>46143.0</v>
      </c>
      <c r="B19" s="12">
        <v>189702.0</v>
      </c>
      <c r="C19" s="13">
        <f t="shared" si="1"/>
        <v>15250</v>
      </c>
      <c r="D19" s="21">
        <f t="shared" si="2"/>
        <v>0.08741659597</v>
      </c>
    </row>
    <row r="20" ht="22.5" customHeight="1">
      <c r="A20" s="19">
        <v>46174.0</v>
      </c>
      <c r="B20" s="12"/>
      <c r="C20" s="13">
        <f t="shared" si="1"/>
        <v>-189702</v>
      </c>
      <c r="D20" s="21">
        <f t="shared" si="2"/>
        <v>-1</v>
      </c>
    </row>
    <row r="21" ht="22.5" customHeight="1">
      <c r="A21" s="19">
        <v>46204.0</v>
      </c>
      <c r="B21" s="12"/>
      <c r="C21" s="13">
        <f t="shared" si="1"/>
        <v>0</v>
      </c>
      <c r="D21" s="21" t="str">
        <f t="shared" si="2"/>
        <v/>
      </c>
    </row>
    <row r="22" ht="22.5" customHeight="1">
      <c r="A22" s="19">
        <v>46235.0</v>
      </c>
      <c r="B22" s="12"/>
      <c r="C22" s="13">
        <f t="shared" si="1"/>
        <v>0</v>
      </c>
      <c r="D22" s="21" t="str">
        <f t="shared" si="2"/>
        <v/>
      </c>
    </row>
    <row r="23" ht="22.5" customHeight="1">
      <c r="A23" s="19">
        <v>46266.0</v>
      </c>
      <c r="B23" s="12"/>
      <c r="C23" s="13">
        <f t="shared" si="1"/>
        <v>0</v>
      </c>
      <c r="D23" s="21" t="str">
        <f t="shared" si="2"/>
        <v/>
      </c>
    </row>
  </sheetData>
  <dataValidations>
    <dataValidation type="custom" allowBlank="1" showDropDown="1" sqref="A2:A23">
      <formula1>OR(NOT(ISERROR(DATEVALUE(A2))), AND(ISNUMBER(A2), LEFT(CELL("format", A2))="D"))</formula1>
    </dataValidation>
    <dataValidation type="custom" allowBlank="1" showDropDown="1" sqref="B2:C2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